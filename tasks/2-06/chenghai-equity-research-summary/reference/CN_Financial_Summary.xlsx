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e13b1cdff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摘要" sheetId="1" r:id="Rff2c680cad94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&quot;–&quot;"/>
    <x:numFmt numFmtId="201" formatCode="0.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8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5055ef0e44126" /><Relationship Type="http://schemas.openxmlformats.org/officeDocument/2006/relationships/theme" Target="/xl/theme/theme1.xml" Id="R9142ec500ecc4bed" /><Relationship Type="http://schemas.openxmlformats.org/officeDocument/2006/relationships/sharedStrings" Target="/xl/sharedStrings.xml" Id="R1eb2932be1c34bc1" /><Relationship Type="http://schemas.openxmlformats.org/officeDocument/2006/relationships/worksheet" Target="/xl/worksheets/sheet1.xml" Id="Rff2c680cad944f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2" hidden="0" customWidth="1"/>
    <col min="2" max="2" width="32" hidden="0" customWidth="1"/>
  </cols>
  <sheetData>
    <row r="1" ht="30" customHeight="1">
      <c r="A1" s="3" t="str">
        <v>澄海精密（合成）</v>
      </c>
      <c r="B1" s="3" t="str">
        <v>人民币/百万元/百万股</v>
      </c>
    </row>
    <row r="2" ht="25" customHeight="1">
      <c r="A2" s="1" t="str">
        <v>指标</v>
      </c>
      <c r="B2" s="1" t="str">
        <v>数值</v>
      </c>
    </row>
    <row r="3" ht="25" customHeight="1">
      <c r="A3" s="1" t="str">
        <v>市场数据</v>
      </c>
      <c r="B3" s="4"/>
    </row>
    <row r="4" ht="25" customHeight="1">
      <c r="A4" s="1" t="str">
        <v>股价</v>
      </c>
      <c r="B4" s="4">
        <v>24.8</v>
      </c>
    </row>
    <row r="5" ht="25" customHeight="1">
      <c r="A5" s="1" t="str">
        <v>总股本</v>
      </c>
      <c r="B5" s="4">
        <v>100.0</v>
      </c>
    </row>
    <row r="6" ht="25" customHeight="1">
      <c r="A6" s="1" t="str">
        <v>流通股本</v>
      </c>
      <c r="B6" s="4">
        <v>80.0</v>
      </c>
    </row>
    <row r="7" ht="25" customHeight="1">
      <c r="A7" s="1" t="str">
        <v>52周最高</v>
      </c>
      <c r="B7" s="4">
        <v>31.2</v>
      </c>
    </row>
    <row r="8" ht="25" customHeight="1">
      <c r="A8" s="1" t="str">
        <v>52周最低</v>
      </c>
      <c r="B8" s="4">
        <v>17.6</v>
      </c>
    </row>
    <row r="9" ht="25" customHeight="1">
      <c r="A9" s="1" t="str">
        <v>估值</v>
      </c>
      <c r="B9" s="4"/>
    </row>
    <row r="10" ht="25" customHeight="1">
      <c r="A10" s="1" t="str">
        <v>市值</v>
      </c>
      <c r="B10" s="4">
        <f>B4*B5</f>
        <v>2480.0</v>
      </c>
    </row>
    <row r="11" ht="25" customHeight="1">
      <c r="A11" s="1" t="str">
        <v>有息债务</v>
      </c>
      <c r="B11" s="4">
        <v>180.0</v>
      </c>
    </row>
    <row r="12" ht="25" customHeight="1">
      <c r="A12" s="1" t="str">
        <v>现金</v>
      </c>
      <c r="B12" s="4">
        <v>300.0</v>
      </c>
    </row>
    <row r="13" ht="25" customHeight="1">
      <c r="A13" s="1" t="str">
        <v>企业价值</v>
      </c>
      <c r="B13" s="4">
        <f>B10+B11-B12</f>
        <v>2360.0</v>
      </c>
    </row>
    <row r="14" ht="25" customHeight="1">
      <c r="A14" s="1" t="str">
        <v>市盈率</v>
      </c>
      <c r="B14" s="4">
        <f>B10/B19</f>
        <v>16.533333333333335</v>
      </c>
    </row>
    <row r="15" ht="25" customHeight="1">
      <c r="A15" s="1" t="str">
        <v>企业价值/收入</v>
      </c>
      <c r="B15" s="4">
        <f>B13/B17</f>
        <v>1.888</v>
      </c>
    </row>
    <row r="16" ht="25" customHeight="1">
      <c r="A16" s="1" t="str">
        <v>利润表</v>
      </c>
      <c r="B16" s="4"/>
    </row>
    <row r="17" ht="25" customHeight="1">
      <c r="A17" s="1" t="str">
        <v>营业收入</v>
      </c>
      <c r="B17" s="4">
        <v>1250.0</v>
      </c>
    </row>
    <row r="18" ht="25" customHeight="1">
      <c r="A18" s="1" t="str">
        <v>营业成本</v>
      </c>
      <c r="B18" s="4">
        <v>750.0</v>
      </c>
    </row>
    <row r="19" ht="25" customHeight="1">
      <c r="A19" s="1" t="str">
        <v>净利润</v>
      </c>
      <c r="B19" s="4">
        <v>150.0</v>
      </c>
    </row>
    <row r="20" ht="25" customHeight="1">
      <c r="A20" s="1" t="str">
        <v>毛利</v>
      </c>
      <c r="B20" s="4">
        <f>B17-B18</f>
        <v>500.0</v>
      </c>
    </row>
    <row r="21" ht="25" customHeight="1">
      <c r="A21" s="1" t="str">
        <v>毛利率</v>
      </c>
      <c r="B21" s="6">
        <f>B20/B17</f>
        <v>0.4</v>
      </c>
    </row>
    <row r="22" ht="25" customHeight="1">
      <c r="A22" s="1" t="str">
        <v>资产负债表</v>
      </c>
      <c r="B22" s="4"/>
    </row>
    <row r="23" ht="25" customHeight="1">
      <c r="A23" s="1" t="str">
        <v>总资产</v>
      </c>
      <c r="B23" s="4">
        <v>2600.0</v>
      </c>
    </row>
    <row r="24" ht="25" customHeight="1">
      <c r="A24" s="1" t="str">
        <v>总负债</v>
      </c>
      <c r="B24" s="4">
        <v>1100.0</v>
      </c>
    </row>
    <row r="25" ht="25" customHeight="1">
      <c r="A25" s="1" t="str">
        <v>股东权益</v>
      </c>
      <c r="B25" s="4">
        <v>1500.0</v>
      </c>
    </row>
    <row r="26" ht="25" customHeight="1">
      <c r="A26" s="1" t="str">
        <v>资产负债率</v>
      </c>
      <c r="B26" s="6">
        <f>B24/B23</f>
        <v>0.4230769230769231</v>
      </c>
    </row>
    <row r="27" ht="25" customHeight="1">
      <c r="A27" s="1" t="str">
        <v>现金流</v>
      </c>
      <c r="B27" s="4"/>
    </row>
    <row r="28" ht="25" customHeight="1">
      <c r="A28" s="1" t="str">
        <v>经营现金流</v>
      </c>
      <c r="B28" s="4">
        <v>210.0</v>
      </c>
    </row>
    <row r="29" ht="25" customHeight="1">
      <c r="A29" s="1" t="str">
        <v>资本开支</v>
      </c>
      <c r="B29" s="4">
        <v>90.0</v>
      </c>
    </row>
    <row r="30" ht="25" customHeight="1">
      <c r="A30" s="1" t="str">
        <v>自由现金流</v>
      </c>
      <c r="B30" s="4">
        <f>B28-B29</f>
        <v>120.0</v>
      </c>
    </row>
    <row r="31" ht="25" customHeight="1">
      <c r="A31" s="1" t="str">
        <v>Dashboard</v>
      </c>
      <c r="B31" s="4"/>
    </row>
    <row r="32" ht="25" customHeight="1">
      <c r="A32" s="1" t="str">
        <v>净利率</v>
      </c>
      <c r="B32" s="6">
        <f>B19/B17</f>
        <v>0.12</v>
      </c>
    </row>
    <row r="33" ht="25" customHeight="1">
      <c r="A33" s="1" t="str">
        <v>每股收益</v>
      </c>
      <c r="B33" s="4">
        <f>B19/B5</f>
        <v>1.5</v>
      </c>
    </row>
    <row r="34" ht="25" customHeight="1">
      <c r="A34" s="1" t="str">
        <v>流通市值</v>
      </c>
      <c r="B34" s="4">
        <f>B4*B6</f>
        <v>1984.0</v>
      </c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</sheetData>
  <pageMargins left="0.7" right="0.7" top="0.75" bottom="0.75" header="0.3" footer="0.3"/>
</worksheet>
</file>